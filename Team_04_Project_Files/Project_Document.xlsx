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01ec581691f1c3/College/USCB_Fall_2025/ISATB104_Programming/Team_04_Project_Files/TJ/B104-final-project/Team_04_Project_Files/"/>
    </mc:Choice>
  </mc:AlternateContent>
  <xr:revisionPtr revIDLastSave="9" documentId="8_{96C97D4D-9C0D-4B87-8BA1-6E7A63A25A12}" xr6:coauthVersionLast="47" xr6:coauthVersionMax="47" xr10:uidLastSave="{5D4E1C21-B201-42B6-B08F-2E17FF4C4700}"/>
  <bookViews>
    <workbookView xWindow="-120" yWindow="-120" windowWidth="29040" windowHeight="15720" xr2:uid="{6D05E635-5A79-4EBF-BB24-A27E26960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" l="1"/>
  <c r="C50" i="1"/>
  <c r="C46" i="1"/>
  <c r="C45" i="1"/>
  <c r="C40" i="1"/>
  <c r="C39" i="1"/>
  <c r="C34" i="1"/>
  <c r="C33" i="1"/>
  <c r="C28" i="1"/>
  <c r="C27" i="1"/>
  <c r="C22" i="1"/>
  <c r="C21" i="1"/>
  <c r="C16" i="1"/>
  <c r="C15" i="1"/>
  <c r="C10" i="1"/>
  <c r="C9" i="1"/>
  <c r="D4" i="1"/>
  <c r="D3" i="1"/>
  <c r="C4" i="1" l="1"/>
  <c r="C3" i="1"/>
</calcChain>
</file>

<file path=xl/sharedStrings.xml><?xml version="1.0" encoding="utf-8"?>
<sst xmlns="http://schemas.openxmlformats.org/spreadsheetml/2006/main" count="77" uniqueCount="28">
  <si>
    <t>Member</t>
  </si>
  <si>
    <t>Contribution</t>
  </si>
  <si>
    <t>Total Hours</t>
  </si>
  <si>
    <t xml:space="preserve">Travis Godley </t>
  </si>
  <si>
    <t>Dylan Folscroft</t>
  </si>
  <si>
    <t>YRBS Question Identification &amp; Documentation</t>
  </si>
  <si>
    <t>Hours</t>
  </si>
  <si>
    <t>Components</t>
  </si>
  <si>
    <t>YRBS Data Winnowing &amp; Retrieval</t>
  </si>
  <si>
    <t>Data Analysis (via Python)</t>
  </si>
  <si>
    <t>Data Visualization (via Python)</t>
  </si>
  <si>
    <t>GUI Creation (via Python)</t>
  </si>
  <si>
    <t>Python Script Creation</t>
  </si>
  <si>
    <t>Presentation Preparation &amp; Practice</t>
  </si>
  <si>
    <t>Project Documentation &amp; Administration</t>
  </si>
  <si>
    <t>Documentation analysis</t>
  </si>
  <si>
    <t>Initial data analysis via Pandas</t>
  </si>
  <si>
    <t>Refinement during GUI testing/debugging</t>
  </si>
  <si>
    <t>Initial visualization via matplotlib and seaborn</t>
  </si>
  <si>
    <t>Initial and subsequent GUI versions throughout via Tkinter</t>
  </si>
  <si>
    <t xml:space="preserve">Refinement throughout </t>
  </si>
  <si>
    <t>Primary for main/GUI/loading scripts</t>
  </si>
  <si>
    <t>Primary for statistical analysis script</t>
  </si>
  <si>
    <t>Talking points development, equipment check and practice</t>
  </si>
  <si>
    <t>Primary manipulation and refinement</t>
  </si>
  <si>
    <t>Continuous input, editing, and QC</t>
  </si>
  <si>
    <t>Retrieval/SQL creation/Data formatting/CSV manipulation</t>
  </si>
  <si>
    <t>Identification of relevant questions/Demographics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</si>
</sst>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81A4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4D0D7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9" fontId="2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62B1-D464-47CA-B77C-6D4C2E00B03B}">
  <dimension ref="B1:E51"/>
  <sheetViews>
    <sheetView tabSelected="1" workbookViewId="0">
      <selection activeCell="F12" sqref="F12"/>
    </sheetView>
  </sheetViews>
  <sheetFormatPr defaultRowHeight="15" x14ac:dyDescent="0.25"/>
  <cols>
    <col min="2" max="2" width="19.42578125" customWidth="1"/>
    <col min="3" max="3" width="13.28515625" customWidth="1"/>
    <col min="4" max="4" width="13.42578125" customWidth="1"/>
    <col min="5" max="5" width="53" customWidth="1"/>
  </cols>
  <sheetData>
    <row r="1" spans="2:5" ht="15.75" thickBot="1" x14ac:dyDescent="0.3"/>
    <row r="2" spans="2:5" ht="15.75" thickBot="1" x14ac:dyDescent="0.3">
      <c r="B2" s="1" t="s">
        <v>0</v>
      </c>
      <c r="C2" s="2" t="s">
        <v>1</v>
      </c>
      <c r="D2" s="2" t="s">
        <v>2</v>
      </c>
    </row>
    <row r="3" spans="2:5" ht="15.75" thickBot="1" x14ac:dyDescent="0.3">
      <c r="B3" s="3" t="s">
        <v>3</v>
      </c>
      <c r="C3" s="4">
        <f>D3/SUM(D3:D4)</f>
        <v>0.48529411764705882</v>
      </c>
      <c r="D3" s="5">
        <f>SUM(D9,D15,D21,D27,D33,D39,D45,D50)</f>
        <v>33</v>
      </c>
    </row>
    <row r="4" spans="2:5" ht="15.75" thickBot="1" x14ac:dyDescent="0.3">
      <c r="B4" s="3" t="s">
        <v>4</v>
      </c>
      <c r="C4" s="4">
        <f>D4/(SUM(D3:D4))</f>
        <v>0.51470588235294112</v>
      </c>
      <c r="D4" s="5">
        <f>SUM(D10,D16,D22,D28,D34,D40,D46,D51)</f>
        <v>35</v>
      </c>
    </row>
    <row r="5" spans="2:5" x14ac:dyDescent="0.25">
      <c r="B5" s="6"/>
    </row>
    <row r="6" spans="2:5" x14ac:dyDescent="0.25">
      <c r="B6" s="6"/>
    </row>
    <row r="7" spans="2:5" ht="15.75" thickBot="1" x14ac:dyDescent="0.3">
      <c r="B7" s="7" t="s">
        <v>5</v>
      </c>
    </row>
    <row r="8" spans="2:5" ht="15.75" thickBot="1" x14ac:dyDescent="0.3">
      <c r="B8" s="1" t="s">
        <v>0</v>
      </c>
      <c r="C8" s="2" t="s">
        <v>1</v>
      </c>
      <c r="D8" s="2" t="s">
        <v>6</v>
      </c>
      <c r="E8" s="2" t="s">
        <v>7</v>
      </c>
    </row>
    <row r="9" spans="2:5" ht="15.75" thickBot="1" x14ac:dyDescent="0.3">
      <c r="B9" s="3" t="s">
        <v>3</v>
      </c>
      <c r="C9" s="4">
        <f>D9/(SUM(D9:D10))</f>
        <v>0.5</v>
      </c>
      <c r="D9" s="5">
        <v>2</v>
      </c>
      <c r="E9" s="5" t="s">
        <v>15</v>
      </c>
    </row>
    <row r="10" spans="2:5" ht="15.75" thickBot="1" x14ac:dyDescent="0.3">
      <c r="B10" s="3" t="s">
        <v>4</v>
      </c>
      <c r="C10" s="4">
        <f>D10/(SUM(D9:D10))</f>
        <v>0.5</v>
      </c>
      <c r="D10" s="5">
        <v>2</v>
      </c>
      <c r="E10" s="5" t="s">
        <v>27</v>
      </c>
    </row>
    <row r="11" spans="2:5" x14ac:dyDescent="0.25">
      <c r="B11" s="6"/>
      <c r="E11" s="9"/>
    </row>
    <row r="12" spans="2:5" x14ac:dyDescent="0.25">
      <c r="B12" s="6"/>
      <c r="E12" s="9"/>
    </row>
    <row r="13" spans="2:5" ht="15.75" thickBot="1" x14ac:dyDescent="0.3">
      <c r="B13" s="7" t="s">
        <v>8</v>
      </c>
      <c r="E13" s="9"/>
    </row>
    <row r="14" spans="2:5" ht="15.75" thickBot="1" x14ac:dyDescent="0.3">
      <c r="B14" s="1" t="s">
        <v>0</v>
      </c>
      <c r="C14" s="2" t="s">
        <v>1</v>
      </c>
      <c r="D14" s="2" t="s">
        <v>6</v>
      </c>
      <c r="E14" s="2" t="s">
        <v>7</v>
      </c>
    </row>
    <row r="15" spans="2:5" ht="15.75" thickBot="1" x14ac:dyDescent="0.3">
      <c r="B15" s="3" t="s">
        <v>3</v>
      </c>
      <c r="C15" s="4">
        <f>D15/(SUM(D15:D16))</f>
        <v>0.5</v>
      </c>
      <c r="D15" s="5">
        <v>1</v>
      </c>
      <c r="E15" s="5" t="s">
        <v>26</v>
      </c>
    </row>
    <row r="16" spans="2:5" ht="15.75" thickBot="1" x14ac:dyDescent="0.3">
      <c r="B16" s="3" t="s">
        <v>4</v>
      </c>
      <c r="C16" s="4">
        <f>D16/(SUM(D15:D16))</f>
        <v>0.5</v>
      </c>
      <c r="D16" s="5">
        <v>1</v>
      </c>
      <c r="E16" s="5" t="s">
        <v>26</v>
      </c>
    </row>
    <row r="17" spans="2:5" x14ac:dyDescent="0.25">
      <c r="B17" s="8"/>
      <c r="E17" s="9"/>
    </row>
    <row r="18" spans="2:5" x14ac:dyDescent="0.25">
      <c r="B18" s="6"/>
      <c r="E18" s="9"/>
    </row>
    <row r="19" spans="2:5" ht="15.75" thickBot="1" x14ac:dyDescent="0.3">
      <c r="B19" s="7" t="s">
        <v>9</v>
      </c>
      <c r="E19" s="9"/>
    </row>
    <row r="20" spans="2:5" ht="15.75" thickBot="1" x14ac:dyDescent="0.3">
      <c r="B20" s="1" t="s">
        <v>0</v>
      </c>
      <c r="C20" s="2" t="s">
        <v>1</v>
      </c>
      <c r="D20" s="2" t="s">
        <v>6</v>
      </c>
      <c r="E20" s="2" t="s">
        <v>7</v>
      </c>
    </row>
    <row r="21" spans="2:5" ht="15.75" thickBot="1" x14ac:dyDescent="0.3">
      <c r="B21" s="3" t="s">
        <v>3</v>
      </c>
      <c r="C21" s="4">
        <f>D21/(SUM(D21:D22))</f>
        <v>0.7142857142857143</v>
      </c>
      <c r="D21" s="5">
        <v>10</v>
      </c>
      <c r="E21" s="5" t="s">
        <v>16</v>
      </c>
    </row>
    <row r="22" spans="2:5" ht="15.75" thickBot="1" x14ac:dyDescent="0.3">
      <c r="B22" s="3" t="s">
        <v>4</v>
      </c>
      <c r="C22" s="4">
        <f>D22/(SUM(D21:D22))</f>
        <v>0.2857142857142857</v>
      </c>
      <c r="D22" s="5">
        <v>4</v>
      </c>
      <c r="E22" s="5" t="s">
        <v>17</v>
      </c>
    </row>
    <row r="23" spans="2:5" x14ac:dyDescent="0.25">
      <c r="B23" s="8"/>
      <c r="E23" s="9"/>
    </row>
    <row r="24" spans="2:5" x14ac:dyDescent="0.25">
      <c r="B24" s="6"/>
      <c r="E24" s="9"/>
    </row>
    <row r="25" spans="2:5" ht="15.75" thickBot="1" x14ac:dyDescent="0.3">
      <c r="B25" s="7" t="s">
        <v>10</v>
      </c>
      <c r="E25" s="9"/>
    </row>
    <row r="26" spans="2:5" ht="15.75" thickBot="1" x14ac:dyDescent="0.3">
      <c r="B26" s="1" t="s">
        <v>0</v>
      </c>
      <c r="C26" s="2" t="s">
        <v>1</v>
      </c>
      <c r="D26" s="2" t="s">
        <v>6</v>
      </c>
      <c r="E26" s="2" t="s">
        <v>7</v>
      </c>
    </row>
    <row r="27" spans="2:5" ht="15.75" thickBot="1" x14ac:dyDescent="0.3">
      <c r="B27" s="3" t="s">
        <v>3</v>
      </c>
      <c r="C27" s="4">
        <f>D27/(SUM(D27:D28))</f>
        <v>0.42857142857142855</v>
      </c>
      <c r="D27" s="5">
        <v>3</v>
      </c>
      <c r="E27" s="5" t="s">
        <v>18</v>
      </c>
    </row>
    <row r="28" spans="2:5" ht="15.75" thickBot="1" x14ac:dyDescent="0.3">
      <c r="B28" s="3" t="s">
        <v>4</v>
      </c>
      <c r="C28" s="4">
        <f>D28/(SUM(D27:D28))</f>
        <v>0.5714285714285714</v>
      </c>
      <c r="D28" s="5">
        <v>4</v>
      </c>
      <c r="E28" s="5" t="s">
        <v>17</v>
      </c>
    </row>
    <row r="29" spans="2:5" x14ac:dyDescent="0.25">
      <c r="B29" s="6"/>
      <c r="E29" s="9"/>
    </row>
    <row r="30" spans="2:5" x14ac:dyDescent="0.25">
      <c r="B30" s="6"/>
      <c r="E30" s="9"/>
    </row>
    <row r="31" spans="2:5" ht="15.75" thickBot="1" x14ac:dyDescent="0.3">
      <c r="B31" s="7" t="s">
        <v>11</v>
      </c>
      <c r="E31" s="9"/>
    </row>
    <row r="32" spans="2:5" ht="15.75" thickBot="1" x14ac:dyDescent="0.3">
      <c r="B32" s="1" t="s">
        <v>0</v>
      </c>
      <c r="C32" s="2" t="s">
        <v>1</v>
      </c>
      <c r="D32" s="2" t="s">
        <v>6</v>
      </c>
      <c r="E32" s="2" t="s">
        <v>7</v>
      </c>
    </row>
    <row r="33" spans="2:5" ht="15.75" thickBot="1" x14ac:dyDescent="0.3">
      <c r="B33" s="3" t="s">
        <v>3</v>
      </c>
      <c r="C33" s="4">
        <f>D33/(SUM(D33:D34))</f>
        <v>0.23076923076923078</v>
      </c>
      <c r="D33" s="5">
        <v>3</v>
      </c>
      <c r="E33" s="5" t="s">
        <v>20</v>
      </c>
    </row>
    <row r="34" spans="2:5" ht="15.75" thickBot="1" x14ac:dyDescent="0.3">
      <c r="B34" s="3" t="s">
        <v>4</v>
      </c>
      <c r="C34" s="4">
        <f>D34/(SUM(D33:D34))</f>
        <v>0.76923076923076927</v>
      </c>
      <c r="D34" s="5">
        <v>10</v>
      </c>
      <c r="E34" s="5" t="s">
        <v>19</v>
      </c>
    </row>
    <row r="35" spans="2:5" x14ac:dyDescent="0.25">
      <c r="B35" s="6"/>
      <c r="E35" s="9"/>
    </row>
    <row r="36" spans="2:5" x14ac:dyDescent="0.25">
      <c r="B36" s="6"/>
      <c r="E36" s="9"/>
    </row>
    <row r="37" spans="2:5" ht="15.75" thickBot="1" x14ac:dyDescent="0.3">
      <c r="B37" s="7" t="s">
        <v>12</v>
      </c>
      <c r="E37" s="9"/>
    </row>
    <row r="38" spans="2:5" ht="15.75" thickBot="1" x14ac:dyDescent="0.3">
      <c r="B38" s="1" t="s">
        <v>0</v>
      </c>
      <c r="C38" s="2" t="s">
        <v>1</v>
      </c>
      <c r="D38" s="2" t="s">
        <v>6</v>
      </c>
      <c r="E38" s="2" t="s">
        <v>7</v>
      </c>
    </row>
    <row r="39" spans="2:5" ht="15.75" thickBot="1" x14ac:dyDescent="0.3">
      <c r="B39" s="3" t="s">
        <v>3</v>
      </c>
      <c r="C39" s="4">
        <f>D39/(SUM(D39:D40))</f>
        <v>0.47619047619047616</v>
      </c>
      <c r="D39" s="5">
        <v>10</v>
      </c>
      <c r="E39" s="5" t="s">
        <v>22</v>
      </c>
    </row>
    <row r="40" spans="2:5" ht="15.75" thickBot="1" x14ac:dyDescent="0.3">
      <c r="B40" s="3" t="s">
        <v>4</v>
      </c>
      <c r="C40" s="4">
        <f>D40/(SUM(D39:D40))</f>
        <v>0.52380952380952384</v>
      </c>
      <c r="D40" s="5">
        <v>11</v>
      </c>
      <c r="E40" s="5" t="s">
        <v>21</v>
      </c>
    </row>
    <row r="41" spans="2:5" x14ac:dyDescent="0.25">
      <c r="B41" s="6"/>
      <c r="E41" s="9"/>
    </row>
    <row r="42" spans="2:5" x14ac:dyDescent="0.25">
      <c r="B42" s="6"/>
      <c r="E42" s="9"/>
    </row>
    <row r="43" spans="2:5" ht="15.75" thickBot="1" x14ac:dyDescent="0.3">
      <c r="B43" s="7" t="s">
        <v>13</v>
      </c>
      <c r="E43" s="9"/>
    </row>
    <row r="44" spans="2:5" ht="15.75" thickBot="1" x14ac:dyDescent="0.3">
      <c r="B44" s="1" t="s">
        <v>0</v>
      </c>
      <c r="C44" s="2" t="s">
        <v>1</v>
      </c>
      <c r="D44" s="2" t="s">
        <v>6</v>
      </c>
      <c r="E44" s="2" t="s">
        <v>7</v>
      </c>
    </row>
    <row r="45" spans="2:5" ht="15.75" thickBot="1" x14ac:dyDescent="0.3">
      <c r="B45" s="3" t="s">
        <v>3</v>
      </c>
      <c r="C45" s="4">
        <f>D45/(SUM(D45:D46))</f>
        <v>0.5</v>
      </c>
      <c r="D45" s="5">
        <v>1</v>
      </c>
      <c r="E45" s="5" t="s">
        <v>23</v>
      </c>
    </row>
    <row r="46" spans="2:5" ht="15.75" thickBot="1" x14ac:dyDescent="0.3">
      <c r="B46" s="3" t="s">
        <v>4</v>
      </c>
      <c r="C46" s="4">
        <f>D46/(SUM(D45:D46))</f>
        <v>0.5</v>
      </c>
      <c r="D46" s="5">
        <v>1</v>
      </c>
      <c r="E46" s="5" t="s">
        <v>23</v>
      </c>
    </row>
    <row r="47" spans="2:5" x14ac:dyDescent="0.25">
      <c r="B47" s="8"/>
      <c r="E47" s="9"/>
    </row>
    <row r="48" spans="2:5" ht="15.75" thickBot="1" x14ac:dyDescent="0.3">
      <c r="B48" s="7" t="s">
        <v>14</v>
      </c>
      <c r="E48" s="9"/>
    </row>
    <row r="49" spans="2:5" ht="15.75" thickBot="1" x14ac:dyDescent="0.3">
      <c r="B49" s="1" t="s">
        <v>0</v>
      </c>
      <c r="C49" s="2" t="s">
        <v>1</v>
      </c>
      <c r="D49" s="2" t="s">
        <v>6</v>
      </c>
      <c r="E49" s="2" t="s">
        <v>7</v>
      </c>
    </row>
    <row r="50" spans="2:5" ht="15.75" thickBot="1" x14ac:dyDescent="0.3">
      <c r="B50" s="3" t="s">
        <v>3</v>
      </c>
      <c r="C50" s="4">
        <f>D50/(SUM(D50:D51))</f>
        <v>0.6</v>
      </c>
      <c r="D50" s="5">
        <v>3</v>
      </c>
      <c r="E50" s="5" t="s">
        <v>24</v>
      </c>
    </row>
    <row r="51" spans="2:5" ht="15.75" thickBot="1" x14ac:dyDescent="0.3">
      <c r="B51" s="3" t="s">
        <v>4</v>
      </c>
      <c r="C51" s="4">
        <f>D51/(SUM(D50:D51))</f>
        <v>0.4</v>
      </c>
      <c r="D51" s="5">
        <v>2</v>
      </c>
      <c r="E51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godley</dc:creator>
  <cp:lastModifiedBy>travis godley</cp:lastModifiedBy>
  <dcterms:created xsi:type="dcterms:W3CDTF">2025-12-02T02:27:55Z</dcterms:created>
  <dcterms:modified xsi:type="dcterms:W3CDTF">2025-12-02T04:46:06Z</dcterms:modified>
</cp:coreProperties>
</file>